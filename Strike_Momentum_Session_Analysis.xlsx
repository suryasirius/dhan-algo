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0-Min Session Analys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<sst xmlns="http://schemas.openxmlformats.org/spreadsheetml/2006/main" count="53" uniqueCount="28">
  <si>
    <t xml:space="preserve">Strike Momentum Concept -- Win Rate / Net Points by Weekday x 30-Min Session</t>
  </si>
  <si>
    <t xml:space="preserve">Source: standalone 6-month backtest (test_strike_momentum.py), all weekdays, all-day entries, 771 total trades, Jan 27 - Jul 27 2026. Trades and Net Points are the raw backtest output (blue); Win Count is reconstructed from the reported win-rate percentage. Win Rate %, Avg pts, and the All Days columns are computed with formulas.</t>
  </si>
  <si>
    <t xml:space="preserve">Session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</si>
  <si>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</si>
  <si>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</si>
  <si>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</si>
  <si>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</si>
  <si>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</si>
  <si>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All Days</t>
  </si>
  <si>
    <t xml:space="preserve">Trades</t>
  </si>
  <si>
    <t xml:space="preserve">Wins</t>
  </si>
  <si>
    <t xml:space="preserve">Win %</t>
  </si>
  <si>
    <t xml:space="preserve">Net Pts</t>
  </si>
  <si>
    <t xml:space="preserve">Avg Pts</t>
  </si>
  <si>
    <t xml:space="preserve">09:15-09:45</t>
  </si>
  <si>
    <t xml:space="preserve">09:45-10:15</t>
  </si>
  <si>
    <t xml:space="preserve">10:15-10:45</t>
  </si>
  <si>
    <t xml:space="preserve">10:45-11:15</t>
  </si>
  <si>
    <t xml:space="preserve">11:15-11:45</t>
  </si>
  <si>
    <t xml:space="preserve">11:45-12:15</t>
  </si>
  <si>
    <t xml:space="preserve">12:15-12:45</t>
  </si>
  <si>
    <t xml:space="preserve">12:45-13:15</t>
  </si>
  <si>
    <t xml:space="preserve">13:15-13:45</t>
  </si>
  <si>
    <t xml:space="preserve">13:45-14:15</t>
  </si>
  <si>
    <t xml:space="preserve">14:15-14:45</t>
  </si>
  <si>
    <t xml:space="preserve">14:45-15:15</t>
  </si>
  <si>
    <t xml:space="preserve">15:15-15:30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</si>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</sst>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0;\(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1" min="2" style="0" width="9"/>
  </cols>
  <sheetData>
    <row r="1" customFormat="false" ht="17.3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customFormat="false" ht="15" hidden="false" customHeight="false" outlineLevel="0" collapsed="false">
      <c r="A4" s="3" t="s">
        <v>2</v>
      </c>
      <c r="B4" s="4" t="s">
        <v>3</v>
      </c>
      <c r="C4" s="4"/>
      <c r="D4" s="4"/>
      <c r="E4" s="4"/>
      <c r="F4" s="4"/>
      <c r="G4" s="4" t="s">
        <v>4</v>
      </c>
      <c r="H4" s="4"/>
      <c r="I4" s="4"/>
      <c r="J4" s="4"/>
      <c r="K4" s="4"/>
      <c r="L4" s="4" t="s">
        <v>5</v>
      </c>
      <c r="M4" s="4"/>
      <c r="N4" s="4"/>
      <c r="O4" s="4"/>
      <c r="P4" s="4"/>
      <c r="Q4" s="4" t="s">
        <v>6</v>
      </c>
      <c r="R4" s="4"/>
      <c r="S4" s="4"/>
      <c r="T4" s="4"/>
      <c r="U4" s="4"/>
      <c r="V4" s="4" t="s">
        <v>7</v>
      </c>
      <c r="W4" s="4"/>
      <c r="X4" s="4"/>
      <c r="Y4" s="4"/>
      <c r="Z4" s="4"/>
      <c r="AA4" s="4" t="s">
        <v>8</v>
      </c>
      <c r="AB4" s="4"/>
      <c r="AC4" s="4"/>
      <c r="AD4" s="4"/>
      <c r="AE4" s="4"/>
    </row>
    <row r="5" customFormat="false" ht="15" hidden="false" customHeight="false" outlineLevel="0" collapsed="false">
      <c r="A5" s="5"/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9</v>
      </c>
      <c r="M5" s="6" t="s">
        <v>10</v>
      </c>
      <c r="N5" s="6" t="s">
        <v>11</v>
      </c>
      <c r="O5" s="6" t="s">
        <v>12</v>
      </c>
      <c r="P5" s="6" t="s">
        <v>13</v>
      </c>
      <c r="Q5" s="6" t="s">
        <v>9</v>
      </c>
      <c r="R5" s="6" t="s">
        <v>10</v>
      </c>
      <c r="S5" s="6" t="s">
        <v>11</v>
      </c>
      <c r="T5" s="6" t="s">
        <v>12</v>
      </c>
      <c r="U5" s="6" t="s">
        <v>13</v>
      </c>
      <c r="V5" s="6" t="s">
        <v>9</v>
      </c>
      <c r="W5" s="6" t="s">
        <v>10</v>
      </c>
      <c r="X5" s="6" t="s">
        <v>11</v>
      </c>
      <c r="Y5" s="6" t="s">
        <v>12</v>
      </c>
      <c r="Z5" s="6" t="s">
        <v>13</v>
      </c>
      <c r="AA5" s="6" t="s">
        <v>9</v>
      </c>
      <c r="AB5" s="6" t="s">
        <v>10</v>
      </c>
      <c r="AC5" s="6" t="s">
        <v>11</v>
      </c>
      <c r="AD5" s="6" t="s">
        <v>12</v>
      </c>
      <c r="AE5" s="6" t="s">
        <v>13</v>
      </c>
    </row>
    <row r="6" customFormat="false" ht="15" hidden="false" customHeight="false" outlineLevel="0" collapsed="false">
      <c r="A6" s="7" t="s">
        <v>14</v>
      </c>
      <c r="B6" s="8" t="n">
        <v>21</v>
      </c>
      <c r="C6" s="8" t="n">
        <v>10</v>
      </c>
      <c r="D6" s="9" t="n">
        <f aca="false">IF(B6=0,0,C6/B6)</f>
        <v>0.476190476190476</v>
      </c>
      <c r="E6" s="10" t="n">
        <v>41.07</v>
      </c>
      <c r="F6" s="11" t="n">
        <f aca="false">IF(B6=0,0,E6/B6)</f>
        <v>1.95571428571429</v>
      </c>
      <c r="G6" s="8" t="n">
        <v>29</v>
      </c>
      <c r="H6" s="8" t="n">
        <v>11</v>
      </c>
      <c r="I6" s="9" t="n">
        <f aca="false">IF(G6=0,0,H6/G6)</f>
        <v>0.379310344827586</v>
      </c>
      <c r="J6" s="10" t="n">
        <v>33.12</v>
      </c>
      <c r="K6" s="11" t="n">
        <f aca="false">IF(G6=0,0,J6/G6)</f>
        <v>1.14206896551724</v>
      </c>
      <c r="L6" s="8" t="n">
        <v>43</v>
      </c>
      <c r="M6" s="8" t="n">
        <v>22</v>
      </c>
      <c r="N6" s="9" t="n">
        <f aca="false">IF(L6=0,0,M6/L6)</f>
        <v>0.511627906976744</v>
      </c>
      <c r="O6" s="10" t="n">
        <v>189</v>
      </c>
      <c r="P6" s="11" t="n">
        <f aca="false">IF(L6=0,0,O6/L6)</f>
        <v>4.3953488372093</v>
      </c>
      <c r="Q6" s="8" t="n">
        <v>33</v>
      </c>
      <c r="R6" s="8" t="n">
        <v>17</v>
      </c>
      <c r="S6" s="9" t="n">
        <f aca="false">IF(Q6=0,0,R6/Q6)</f>
        <v>0.515151515151515</v>
      </c>
      <c r="T6" s="10" t="n">
        <v>82.83</v>
      </c>
      <c r="U6" s="11" t="n">
        <f aca="false">IF(Q6=0,0,T6/Q6)</f>
        <v>2.51</v>
      </c>
      <c r="V6" s="8" t="n">
        <v>26</v>
      </c>
      <c r="W6" s="8" t="n">
        <v>10</v>
      </c>
      <c r="X6" s="9" t="n">
        <f aca="false">IF(V6=0,0,W6/V6)</f>
        <v>0.384615384615385</v>
      </c>
      <c r="Y6" s="10" t="n">
        <v>13.32</v>
      </c>
      <c r="Z6" s="11" t="n">
        <f aca="false">IF(V6=0,0,Y6/V6)</f>
        <v>0.512307692307692</v>
      </c>
      <c r="AA6" s="7" t="n">
        <f aca="false">B6+G6+L6+Q6+V6</f>
        <v>152</v>
      </c>
      <c r="AB6" s="7" t="n">
        <f aca="false">C6+H6+M6+R6+W6</f>
        <v>70</v>
      </c>
      <c r="AC6" s="9" t="n">
        <f aca="false">IF(AA6=0,0,AB6/AA6)</f>
        <v>0.460526315789474</v>
      </c>
      <c r="AD6" s="11" t="n">
        <f aca="false">E6+J6+O6+T6+Y6</f>
        <v>359.34</v>
      </c>
      <c r="AE6" s="11" t="n">
        <f aca="false">IF(AA6=0,0,AD6/AA6)</f>
        <v>2.36407894736842</v>
      </c>
    </row>
    <row r="7" customFormat="false" ht="15" hidden="false" customHeight="false" outlineLevel="0" collapsed="false">
      <c r="A7" s="7" t="s">
        <v>15</v>
      </c>
      <c r="B7" s="8" t="n">
        <v>14</v>
      </c>
      <c r="C7" s="8" t="n">
        <v>7</v>
      </c>
      <c r="D7" s="9" t="n">
        <f aca="false">IF(B7=0,0,C7/B7)</f>
        <v>0.5</v>
      </c>
      <c r="E7" s="10" t="n">
        <v>64.14</v>
      </c>
      <c r="F7" s="11" t="n">
        <f aca="false">IF(B7=0,0,E7/B7)</f>
        <v>4.58142857142857</v>
      </c>
      <c r="G7" s="8" t="n">
        <v>15</v>
      </c>
      <c r="H7" s="8" t="n">
        <v>7</v>
      </c>
      <c r="I7" s="9" t="n">
        <f aca="false">IF(G7=0,0,H7/G7)</f>
        <v>0.466666666666667</v>
      </c>
      <c r="J7" s="10" t="n">
        <v>7.56</v>
      </c>
      <c r="K7" s="11" t="n">
        <f aca="false">IF(G7=0,0,J7/G7)</f>
        <v>0.504</v>
      </c>
      <c r="L7" s="8" t="n">
        <v>30</v>
      </c>
      <c r="M7" s="8" t="n">
        <v>11</v>
      </c>
      <c r="N7" s="9" t="n">
        <f aca="false">IF(L7=0,0,M7/L7)</f>
        <v>0.366666666666667</v>
      </c>
      <c r="O7" s="10" t="n">
        <v>-92.7</v>
      </c>
      <c r="P7" s="11" t="n">
        <f aca="false">IF(L7=0,0,O7/L7)</f>
        <v>-3.09</v>
      </c>
      <c r="Q7" s="8" t="n">
        <v>8</v>
      </c>
      <c r="R7" s="8" t="n">
        <v>4</v>
      </c>
      <c r="S7" s="9" t="n">
        <f aca="false">IF(Q7=0,0,R7/Q7)</f>
        <v>0.5</v>
      </c>
      <c r="T7" s="10" t="n">
        <v>-17.01</v>
      </c>
      <c r="U7" s="11" t="n">
        <f aca="false">IF(Q7=0,0,T7/Q7)</f>
        <v>-2.12625</v>
      </c>
      <c r="V7" s="8" t="n">
        <v>10</v>
      </c>
      <c r="W7" s="8" t="n">
        <v>3</v>
      </c>
      <c r="X7" s="9" t="n">
        <f aca="false">IF(V7=0,0,W7/V7)</f>
        <v>0.3</v>
      </c>
      <c r="Y7" s="10" t="n">
        <v>31.26</v>
      </c>
      <c r="Z7" s="11" t="n">
        <f aca="false">IF(V7=0,0,Y7/V7)</f>
        <v>3.126</v>
      </c>
      <c r="AA7" s="7" t="n">
        <f aca="false">B7+G7+L7+Q7+V7</f>
        <v>77</v>
      </c>
      <c r="AB7" s="7" t="n">
        <f aca="false">C7+H7+M7+R7+W7</f>
        <v>32</v>
      </c>
      <c r="AC7" s="9" t="n">
        <f aca="false">IF(AA7=0,0,AB7/AA7)</f>
        <v>0.415584415584416</v>
      </c>
      <c r="AD7" s="11" t="n">
        <f aca="false">E7+J7+O7+T7+Y7</f>
        <v>-6.75</v>
      </c>
      <c r="AE7" s="11" t="n">
        <f aca="false">IF(AA7=0,0,AD7/AA7)</f>
        <v>-0.0876623376623377</v>
      </c>
    </row>
    <row r="8" customFormat="false" ht="15" hidden="false" customHeight="false" outlineLevel="0" collapsed="false">
      <c r="A8" s="7" t="s">
        <v>16</v>
      </c>
      <c r="B8" s="8" t="n">
        <v>11</v>
      </c>
      <c r="C8" s="8" t="n">
        <v>4</v>
      </c>
      <c r="D8" s="9" t="n">
        <f aca="false">IF(B8=0,0,C8/B8)</f>
        <v>0.363636363636364</v>
      </c>
      <c r="E8" s="10" t="n">
        <v>-47.19</v>
      </c>
      <c r="F8" s="11" t="n">
        <f aca="false">IF(B8=0,0,E8/B8)</f>
        <v>-4.29</v>
      </c>
      <c r="G8" s="8" t="n">
        <v>8</v>
      </c>
      <c r="H8" s="8" t="n">
        <v>4</v>
      </c>
      <c r="I8" s="9" t="n">
        <f aca="false">IF(G8=0,0,H8/G8)</f>
        <v>0.5</v>
      </c>
      <c r="J8" s="10" t="n">
        <v>12.93</v>
      </c>
      <c r="K8" s="11" t="n">
        <f aca="false">IF(G8=0,0,J8/G8)</f>
        <v>1.61625</v>
      </c>
      <c r="L8" s="8" t="n">
        <v>16</v>
      </c>
      <c r="M8" s="8" t="n">
        <v>9</v>
      </c>
      <c r="N8" s="9" t="n">
        <f aca="false">IF(L8=0,0,M8/L8)</f>
        <v>0.5625</v>
      </c>
      <c r="O8" s="10" t="n">
        <v>122.55</v>
      </c>
      <c r="P8" s="11" t="n">
        <f aca="false">IF(L8=0,0,O8/L8)</f>
        <v>7.659375</v>
      </c>
      <c r="Q8" s="8" t="n">
        <v>17</v>
      </c>
      <c r="R8" s="8" t="n">
        <v>6</v>
      </c>
      <c r="S8" s="9" t="n">
        <f aca="false">IF(Q8=0,0,R8/Q8)</f>
        <v>0.352941176470588</v>
      </c>
      <c r="T8" s="10" t="n">
        <v>-16.98</v>
      </c>
      <c r="U8" s="11" t="n">
        <f aca="false">IF(Q8=0,0,T8/Q8)</f>
        <v>-0.998823529411765</v>
      </c>
      <c r="V8" s="8" t="n">
        <v>10</v>
      </c>
      <c r="W8" s="8" t="n">
        <v>2</v>
      </c>
      <c r="X8" s="9" t="n">
        <f aca="false">IF(V8=0,0,W8/V8)</f>
        <v>0.2</v>
      </c>
      <c r="Y8" s="10" t="n">
        <v>-42.24</v>
      </c>
      <c r="Z8" s="11" t="n">
        <f aca="false">IF(V8=0,0,Y8/V8)</f>
        <v>-4.224</v>
      </c>
      <c r="AA8" s="7" t="n">
        <f aca="false">B8+G8+L8+Q8+V8</f>
        <v>62</v>
      </c>
      <c r="AB8" s="7" t="n">
        <f aca="false">C8+H8+M8+R8+W8</f>
        <v>25</v>
      </c>
      <c r="AC8" s="9" t="n">
        <f aca="false">IF(AA8=0,0,AB8/AA8)</f>
        <v>0.403225806451613</v>
      </c>
      <c r="AD8" s="11" t="n">
        <f aca="false">E8+J8+O8+T8+Y8</f>
        <v>29.07</v>
      </c>
      <c r="AE8" s="11" t="n">
        <f aca="false">IF(AA8=0,0,AD8/AA8)</f>
        <v>0.468870967741935</v>
      </c>
    </row>
    <row r="9" customFormat="false" ht="15" hidden="false" customHeight="false" outlineLevel="0" collapsed="false">
      <c r="A9" s="7" t="s">
        <v>17</v>
      </c>
      <c r="B9" s="8" t="n">
        <v>8</v>
      </c>
      <c r="C9" s="8" t="n">
        <v>5</v>
      </c>
      <c r="D9" s="9" t="n">
        <f aca="false">IF(B9=0,0,C9/B9)</f>
        <v>0.625</v>
      </c>
      <c r="E9" s="10" t="n">
        <v>22.38</v>
      </c>
      <c r="F9" s="11" t="n">
        <f aca="false">IF(B9=0,0,E9/B9)</f>
        <v>2.7975</v>
      </c>
      <c r="G9" s="8" t="n">
        <v>7</v>
      </c>
      <c r="H9" s="8" t="n">
        <v>2</v>
      </c>
      <c r="I9" s="9" t="n">
        <f aca="false">IF(G9=0,0,H9/G9)</f>
        <v>0.285714285714286</v>
      </c>
      <c r="J9" s="10" t="n">
        <v>-1.71</v>
      </c>
      <c r="K9" s="11" t="n">
        <f aca="false">IF(G9=0,0,J9/G9)</f>
        <v>-0.244285714285714</v>
      </c>
      <c r="L9" s="8" t="n">
        <v>16</v>
      </c>
      <c r="M9" s="8" t="n">
        <v>8</v>
      </c>
      <c r="N9" s="9" t="n">
        <f aca="false">IF(L9=0,0,M9/L9)</f>
        <v>0.5</v>
      </c>
      <c r="O9" s="10" t="n">
        <v>60.72</v>
      </c>
      <c r="P9" s="11" t="n">
        <f aca="false">IF(L9=0,0,O9/L9)</f>
        <v>3.795</v>
      </c>
      <c r="Q9" s="8" t="n">
        <v>17</v>
      </c>
      <c r="R9" s="8" t="n">
        <v>7</v>
      </c>
      <c r="S9" s="9" t="n">
        <f aca="false">IF(Q9=0,0,R9/Q9)</f>
        <v>0.411764705882353</v>
      </c>
      <c r="T9" s="10" t="n">
        <v>-30.48</v>
      </c>
      <c r="U9" s="11" t="n">
        <f aca="false">IF(Q9=0,0,T9/Q9)</f>
        <v>-1.79294117647059</v>
      </c>
      <c r="V9" s="8" t="n">
        <v>8</v>
      </c>
      <c r="W9" s="8" t="n">
        <v>3</v>
      </c>
      <c r="X9" s="9" t="n">
        <f aca="false">IF(V9=0,0,W9/V9)</f>
        <v>0.375</v>
      </c>
      <c r="Y9" s="10" t="n">
        <v>-9.15</v>
      </c>
      <c r="Z9" s="11" t="n">
        <f aca="false">IF(V9=0,0,Y9/V9)</f>
        <v>-1.14375</v>
      </c>
      <c r="AA9" s="7" t="n">
        <f aca="false">B9+G9+L9+Q9+V9</f>
        <v>56</v>
      </c>
      <c r="AB9" s="7" t="n">
        <f aca="false">C9+H9+M9+R9+W9</f>
        <v>25</v>
      </c>
      <c r="AC9" s="9" t="n">
        <f aca="false">IF(AA9=0,0,AB9/AA9)</f>
        <v>0.446428571428571</v>
      </c>
      <c r="AD9" s="11" t="n">
        <f aca="false">E9+J9+O9+T9+Y9</f>
        <v>41.76</v>
      </c>
      <c r="AE9" s="11" t="n">
        <f aca="false">IF(AA9=0,0,AD9/AA9)</f>
        <v>0.745714285714286</v>
      </c>
    </row>
    <row r="10" customFormat="false" ht="15" hidden="false" customHeight="false" outlineLevel="0" collapsed="false">
      <c r="A10" s="7" t="s">
        <v>18</v>
      </c>
      <c r="B10" s="8" t="n">
        <v>9</v>
      </c>
      <c r="C10" s="8" t="n">
        <v>2</v>
      </c>
      <c r="D10" s="9" t="n">
        <f aca="false">IF(B10=0,0,C10/B10)</f>
        <v>0.222222222222222</v>
      </c>
      <c r="E10" s="10" t="n">
        <v>-35.46</v>
      </c>
      <c r="F10" s="11" t="n">
        <f aca="false">IF(B10=0,0,E10/B10)</f>
        <v>-3.94</v>
      </c>
      <c r="G10" s="8" t="n">
        <v>12</v>
      </c>
      <c r="H10" s="8" t="n">
        <v>3</v>
      </c>
      <c r="I10" s="9" t="n">
        <f aca="false">IF(G10=0,0,H10/G10)</f>
        <v>0.25</v>
      </c>
      <c r="J10" s="10" t="n">
        <v>-53.16</v>
      </c>
      <c r="K10" s="11" t="n">
        <f aca="false">IF(G10=0,0,J10/G10)</f>
        <v>-4.43</v>
      </c>
      <c r="L10" s="8" t="n">
        <v>21</v>
      </c>
      <c r="M10" s="8" t="n">
        <v>9</v>
      </c>
      <c r="N10" s="9" t="n">
        <f aca="false">IF(L10=0,0,M10/L10)</f>
        <v>0.428571428571429</v>
      </c>
      <c r="O10" s="10" t="n">
        <v>-2.58</v>
      </c>
      <c r="P10" s="11" t="n">
        <f aca="false">IF(L10=0,0,O10/L10)</f>
        <v>-0.122857142857143</v>
      </c>
      <c r="Q10" s="8" t="n">
        <v>13</v>
      </c>
      <c r="R10" s="8" t="n">
        <v>3</v>
      </c>
      <c r="S10" s="9" t="n">
        <f aca="false">IF(Q10=0,0,R10/Q10)</f>
        <v>0.230769230769231</v>
      </c>
      <c r="T10" s="10" t="n">
        <v>10.65</v>
      </c>
      <c r="U10" s="11" t="n">
        <f aca="false">IF(Q10=0,0,T10/Q10)</f>
        <v>0.819230769230769</v>
      </c>
      <c r="V10" s="8" t="n">
        <v>10</v>
      </c>
      <c r="W10" s="8" t="n">
        <v>4</v>
      </c>
      <c r="X10" s="9" t="n">
        <f aca="false">IF(V10=0,0,W10/V10)</f>
        <v>0.4</v>
      </c>
      <c r="Y10" s="10" t="n">
        <v>-23.31</v>
      </c>
      <c r="Z10" s="11" t="n">
        <f aca="false">IF(V10=0,0,Y10/V10)</f>
        <v>-2.331</v>
      </c>
      <c r="AA10" s="7" t="n">
        <f aca="false">B10+G10+L10+Q10+V10</f>
        <v>65</v>
      </c>
      <c r="AB10" s="7" t="n">
        <f aca="false">C10+H10+M10+R10+W10</f>
        <v>21</v>
      </c>
      <c r="AC10" s="9" t="n">
        <f aca="false">IF(AA10=0,0,AB10/AA10)</f>
        <v>0.323076923076923</v>
      </c>
      <c r="AD10" s="11" t="n">
        <f aca="false">E10+J10+O10+T10+Y10</f>
        <v>-103.86</v>
      </c>
      <c r="AE10" s="11" t="n">
        <f aca="false">IF(AA10=0,0,AD10/AA10)</f>
        <v>-1.59784615384615</v>
      </c>
    </row>
    <row r="11" customFormat="false" ht="15" hidden="false" customHeight="false" outlineLevel="0" collapsed="false">
      <c r="A11" s="7" t="s">
        <v>19</v>
      </c>
      <c r="B11" s="8" t="n">
        <v>7</v>
      </c>
      <c r="C11" s="8" t="n">
        <v>5</v>
      </c>
      <c r="D11" s="9" t="n">
        <f aca="false">IF(B11=0,0,C11/B11)</f>
        <v>0.714285714285714</v>
      </c>
      <c r="E11" s="10" t="n">
        <v>22.74</v>
      </c>
      <c r="F11" s="11" t="n">
        <f aca="false">IF(B11=0,0,E11/B11)</f>
        <v>3.24857142857143</v>
      </c>
      <c r="G11" s="8" t="n">
        <v>10</v>
      </c>
      <c r="H11" s="8" t="n">
        <v>4</v>
      </c>
      <c r="I11" s="9" t="n">
        <f aca="false">IF(G11=0,0,H11/G11)</f>
        <v>0.4</v>
      </c>
      <c r="J11" s="10" t="n">
        <v>-32.22</v>
      </c>
      <c r="K11" s="11" t="n">
        <f aca="false">IF(G11=0,0,J11/G11)</f>
        <v>-3.222</v>
      </c>
      <c r="L11" s="8" t="n">
        <v>18</v>
      </c>
      <c r="M11" s="8" t="n">
        <v>7</v>
      </c>
      <c r="N11" s="9" t="n">
        <f aca="false">IF(L11=0,0,M11/L11)</f>
        <v>0.388888888888889</v>
      </c>
      <c r="O11" s="10" t="n">
        <v>2.16</v>
      </c>
      <c r="P11" s="11" t="n">
        <f aca="false">IF(L11=0,0,O11/L11)</f>
        <v>0.12</v>
      </c>
      <c r="Q11" s="8" t="n">
        <v>10</v>
      </c>
      <c r="R11" s="8" t="n">
        <v>5</v>
      </c>
      <c r="S11" s="9" t="n">
        <f aca="false">IF(Q11=0,0,R11/Q11)</f>
        <v>0.5</v>
      </c>
      <c r="T11" s="10" t="n">
        <v>6.6</v>
      </c>
      <c r="U11" s="11" t="n">
        <f aca="false">IF(Q11=0,0,T11/Q11)</f>
        <v>0.66</v>
      </c>
      <c r="V11" s="8" t="n">
        <v>5</v>
      </c>
      <c r="W11" s="8" t="n">
        <v>4</v>
      </c>
      <c r="X11" s="9" t="n">
        <f aca="false">IF(V11=0,0,W11/V11)</f>
        <v>0.8</v>
      </c>
      <c r="Y11" s="10" t="n">
        <v>37.35</v>
      </c>
      <c r="Z11" s="11" t="n">
        <f aca="false">IF(V11=0,0,Y11/V11)</f>
        <v>7.47</v>
      </c>
      <c r="AA11" s="7" t="n">
        <f aca="false">B11+G11+L11+Q11+V11</f>
        <v>50</v>
      </c>
      <c r="AB11" s="7" t="n">
        <f aca="false">C11+H11+M11+R11+W11</f>
        <v>25</v>
      </c>
      <c r="AC11" s="9" t="n">
        <f aca="false">IF(AA11=0,0,AB11/AA11)</f>
        <v>0.5</v>
      </c>
      <c r="AD11" s="11" t="n">
        <f aca="false">E11+J11+O11+T11+Y11</f>
        <v>36.63</v>
      </c>
      <c r="AE11" s="11" t="n">
        <f aca="false">IF(AA11=0,0,AD11/AA11)</f>
        <v>0.7326</v>
      </c>
    </row>
    <row r="12" customFormat="false" ht="15" hidden="false" customHeight="false" outlineLevel="0" collapsed="false">
      <c r="A12" s="7" t="s">
        <v>20</v>
      </c>
      <c r="B12" s="8" t="n">
        <v>7</v>
      </c>
      <c r="C12" s="8" t="n">
        <v>3</v>
      </c>
      <c r="D12" s="9" t="n">
        <f aca="false">IF(B12=0,0,C12/B12)</f>
        <v>0.428571428571429</v>
      </c>
      <c r="E12" s="10" t="n">
        <v>27.18</v>
      </c>
      <c r="F12" s="11" t="n">
        <f aca="false">IF(B12=0,0,E12/B12)</f>
        <v>3.88285714285714</v>
      </c>
      <c r="G12" s="8" t="n">
        <v>8</v>
      </c>
      <c r="H12" s="8" t="n">
        <v>2</v>
      </c>
      <c r="I12" s="9" t="n">
        <f aca="false">IF(G12=0,0,H12/G12)</f>
        <v>0.25</v>
      </c>
      <c r="J12" s="10" t="n">
        <v>-26.22</v>
      </c>
      <c r="K12" s="11" t="n">
        <f aca="false">IF(G12=0,0,J12/G12)</f>
        <v>-3.2775</v>
      </c>
      <c r="L12" s="8" t="n">
        <v>19</v>
      </c>
      <c r="M12" s="8" t="n">
        <v>8</v>
      </c>
      <c r="N12" s="9" t="n">
        <f aca="false">IF(L12=0,0,M12/L12)</f>
        <v>0.421052631578947</v>
      </c>
      <c r="O12" s="10" t="n">
        <v>-56.22</v>
      </c>
      <c r="P12" s="11" t="n">
        <f aca="false">IF(L12=0,0,O12/L12)</f>
        <v>-2.95894736842105</v>
      </c>
      <c r="Q12" s="8" t="n">
        <v>15</v>
      </c>
      <c r="R12" s="8" t="n">
        <v>5</v>
      </c>
      <c r="S12" s="9" t="n">
        <f aca="false">IF(Q12=0,0,R12/Q12)</f>
        <v>0.333333333333333</v>
      </c>
      <c r="T12" s="10" t="n">
        <v>-66.03</v>
      </c>
      <c r="U12" s="11" t="n">
        <f aca="false">IF(Q12=0,0,T12/Q12)</f>
        <v>-4.402</v>
      </c>
      <c r="V12" s="8" t="n">
        <v>9</v>
      </c>
      <c r="W12" s="8" t="n">
        <v>6</v>
      </c>
      <c r="X12" s="9" t="n">
        <f aca="false">IF(V12=0,0,W12/V12)</f>
        <v>0.666666666666667</v>
      </c>
      <c r="Y12" s="10" t="n">
        <v>11.73</v>
      </c>
      <c r="Z12" s="11" t="n">
        <f aca="false">IF(V12=0,0,Y12/V12)</f>
        <v>1.30333333333333</v>
      </c>
      <c r="AA12" s="7" t="n">
        <f aca="false">B12+G12+L12+Q12+V12</f>
        <v>58</v>
      </c>
      <c r="AB12" s="7" t="n">
        <f aca="false">C12+H12+M12+R12+W12</f>
        <v>24</v>
      </c>
      <c r="AC12" s="9" t="n">
        <f aca="false">IF(AA12=0,0,AB12/AA12)</f>
        <v>0.413793103448276</v>
      </c>
      <c r="AD12" s="11" t="n">
        <f aca="false">E12+J12+O12+T12+Y12</f>
        <v>-109.56</v>
      </c>
      <c r="AE12" s="11" t="n">
        <f aca="false">IF(AA12=0,0,AD12/AA12)</f>
        <v>-1.88896551724138</v>
      </c>
    </row>
    <row r="13" customFormat="false" ht="15" hidden="false" customHeight="false" outlineLevel="0" collapsed="false">
      <c r="A13" s="7" t="s">
        <v>21</v>
      </c>
      <c r="B13" s="8" t="n">
        <v>15</v>
      </c>
      <c r="C13" s="8" t="n">
        <v>8</v>
      </c>
      <c r="D13" s="9" t="n">
        <f aca="false">IF(B13=0,0,C13/B13)</f>
        <v>0.533333333333333</v>
      </c>
      <c r="E13" s="10" t="n">
        <v>-4.74</v>
      </c>
      <c r="F13" s="11" t="n">
        <f aca="false">IF(B13=0,0,E13/B13)</f>
        <v>-0.316</v>
      </c>
      <c r="G13" s="8" t="n">
        <v>7</v>
      </c>
      <c r="H13" s="8" t="n">
        <v>1</v>
      </c>
      <c r="I13" s="9" t="n">
        <f aca="false">IF(G13=0,0,H13/G13)</f>
        <v>0.142857142857143</v>
      </c>
      <c r="J13" s="10" t="n">
        <v>-23.25</v>
      </c>
      <c r="K13" s="11" t="n">
        <f aca="false">IF(G13=0,0,J13/G13)</f>
        <v>-3.32142857142857</v>
      </c>
      <c r="L13" s="8" t="n">
        <v>17</v>
      </c>
      <c r="M13" s="8" t="n">
        <v>7</v>
      </c>
      <c r="N13" s="9" t="n">
        <f aca="false">IF(L13=0,0,M13/L13)</f>
        <v>0.411764705882353</v>
      </c>
      <c r="O13" s="10" t="n">
        <v>0.84</v>
      </c>
      <c r="P13" s="11" t="n">
        <f aca="false">IF(L13=0,0,O13/L13)</f>
        <v>0.0494117647058824</v>
      </c>
      <c r="Q13" s="8" t="n">
        <v>11</v>
      </c>
      <c r="R13" s="8" t="n">
        <v>5</v>
      </c>
      <c r="S13" s="9" t="n">
        <f aca="false">IF(Q13=0,0,R13/Q13)</f>
        <v>0.454545454545455</v>
      </c>
      <c r="T13" s="10" t="n">
        <v>13.02</v>
      </c>
      <c r="U13" s="11" t="n">
        <f aca="false">IF(Q13=0,0,T13/Q13)</f>
        <v>1.18363636363636</v>
      </c>
      <c r="V13" s="8" t="n">
        <v>7</v>
      </c>
      <c r="W13" s="8" t="n">
        <v>2</v>
      </c>
      <c r="X13" s="9" t="n">
        <f aca="false">IF(V13=0,0,W13/V13)</f>
        <v>0.285714285714286</v>
      </c>
      <c r="Y13" s="10" t="n">
        <v>-17.55</v>
      </c>
      <c r="Z13" s="11" t="n">
        <f aca="false">IF(V13=0,0,Y13/V13)</f>
        <v>-2.50714285714286</v>
      </c>
      <c r="AA13" s="7" t="n">
        <f aca="false">B13+G13+L13+Q13+V13</f>
        <v>57</v>
      </c>
      <c r="AB13" s="7" t="n">
        <f aca="false">C13+H13+M13+R13+W13</f>
        <v>23</v>
      </c>
      <c r="AC13" s="9" t="n">
        <f aca="false">IF(AA13=0,0,AB13/AA13)</f>
        <v>0.403508771929825</v>
      </c>
      <c r="AD13" s="11" t="n">
        <f aca="false">E13+J13+O13+T13+Y13</f>
        <v>-31.68</v>
      </c>
      <c r="AE13" s="11" t="n">
        <f aca="false">IF(AA13=0,0,AD13/AA13)</f>
        <v>-0.555789473684211</v>
      </c>
    </row>
    <row r="14" customFormat="false" ht="15" hidden="false" customHeight="false" outlineLevel="0" collapsed="false">
      <c r="A14" s="7" t="s">
        <v>22</v>
      </c>
      <c r="B14" s="8" t="n">
        <v>7</v>
      </c>
      <c r="C14" s="8" t="n">
        <v>4</v>
      </c>
      <c r="D14" s="9" t="n">
        <f aca="false">IF(B14=0,0,C14/B14)</f>
        <v>0.571428571428571</v>
      </c>
      <c r="E14" s="10" t="n">
        <v>-0.09</v>
      </c>
      <c r="F14" s="11" t="n">
        <f aca="false">IF(B14=0,0,E14/B14)</f>
        <v>-0.0128571428571429</v>
      </c>
      <c r="G14" s="8" t="n">
        <v>3</v>
      </c>
      <c r="H14" s="8" t="n">
        <v>2</v>
      </c>
      <c r="I14" s="9" t="n">
        <f aca="false">IF(G14=0,0,H14/G14)</f>
        <v>0.666666666666667</v>
      </c>
      <c r="J14" s="10" t="n">
        <v>3.06</v>
      </c>
      <c r="K14" s="11" t="n">
        <f aca="false">IF(G14=0,0,J14/G14)</f>
        <v>1.02</v>
      </c>
      <c r="L14" s="8" t="n">
        <v>12</v>
      </c>
      <c r="M14" s="8" t="n">
        <v>7</v>
      </c>
      <c r="N14" s="9" t="n">
        <f aca="false">IF(L14=0,0,M14/L14)</f>
        <v>0.583333333333333</v>
      </c>
      <c r="O14" s="10" t="n">
        <v>34.32</v>
      </c>
      <c r="P14" s="11" t="n">
        <f aca="false">IF(L14=0,0,O14/L14)</f>
        <v>2.86</v>
      </c>
      <c r="Q14" s="8" t="n">
        <v>9</v>
      </c>
      <c r="R14" s="8" t="n">
        <v>4</v>
      </c>
      <c r="S14" s="9" t="n">
        <f aca="false">IF(Q14=0,0,R14/Q14)</f>
        <v>0.444444444444444</v>
      </c>
      <c r="T14" s="10" t="n">
        <v>0.84</v>
      </c>
      <c r="U14" s="11" t="n">
        <f aca="false">IF(Q14=0,0,T14/Q14)</f>
        <v>0.0933333333333333</v>
      </c>
      <c r="V14" s="8" t="n">
        <v>6</v>
      </c>
      <c r="W14" s="8" t="n">
        <v>2</v>
      </c>
      <c r="X14" s="9" t="n">
        <f aca="false">IF(V14=0,0,W14/V14)</f>
        <v>0.333333333333333</v>
      </c>
      <c r="Y14" s="10" t="n">
        <v>3.45</v>
      </c>
      <c r="Z14" s="11" t="n">
        <f aca="false">IF(V14=0,0,Y14/V14)</f>
        <v>0.575</v>
      </c>
      <c r="AA14" s="7" t="n">
        <f aca="false">B14+G14+L14+Q14+V14</f>
        <v>37</v>
      </c>
      <c r="AB14" s="7" t="n">
        <f aca="false">C14+H14+M14+R14+W14</f>
        <v>19</v>
      </c>
      <c r="AC14" s="9" t="n">
        <f aca="false">IF(AA14=0,0,AB14/AA14)</f>
        <v>0.513513513513514</v>
      </c>
      <c r="AD14" s="11" t="n">
        <f aca="false">E14+J14+O14+T14+Y14</f>
        <v>41.58</v>
      </c>
      <c r="AE14" s="11" t="n">
        <f aca="false">IF(AA14=0,0,AD14/AA14)</f>
        <v>1.12378378378378</v>
      </c>
    </row>
    <row r="15" customFormat="false" ht="15" hidden="false" customHeight="false" outlineLevel="0" collapsed="false">
      <c r="A15" s="7" t="s">
        <v>23</v>
      </c>
      <c r="B15" s="8" t="n">
        <v>13</v>
      </c>
      <c r="C15" s="8" t="n">
        <v>4</v>
      </c>
      <c r="D15" s="9" t="n">
        <f aca="false">IF(B15=0,0,C15/B15)</f>
        <v>0.307692307692308</v>
      </c>
      <c r="E15" s="10" t="n">
        <v>-0.54</v>
      </c>
      <c r="F15" s="11" t="n">
        <f aca="false">IF(B15=0,0,E15/B15)</f>
        <v>-0.0415384615384615</v>
      </c>
      <c r="G15" s="8" t="n">
        <v>2</v>
      </c>
      <c r="H15" s="8" t="n">
        <v>1</v>
      </c>
      <c r="I15" s="9" t="n">
        <f aca="false">IF(G15=0,0,H15/G15)</f>
        <v>0.5</v>
      </c>
      <c r="J15" s="10" t="n">
        <v>10.86</v>
      </c>
      <c r="K15" s="11" t="n">
        <f aca="false">IF(G15=0,0,J15/G15)</f>
        <v>5.43</v>
      </c>
      <c r="L15" s="8" t="n">
        <v>15</v>
      </c>
      <c r="M15" s="8" t="n">
        <v>6</v>
      </c>
      <c r="N15" s="9" t="n">
        <f aca="false">IF(L15=0,0,M15/L15)</f>
        <v>0.4</v>
      </c>
      <c r="O15" s="10" t="n">
        <v>-12.3</v>
      </c>
      <c r="P15" s="11" t="n">
        <f aca="false">IF(L15=0,0,O15/L15)</f>
        <v>-0.82</v>
      </c>
      <c r="Q15" s="8" t="n">
        <v>9</v>
      </c>
      <c r="R15" s="8" t="n">
        <v>2</v>
      </c>
      <c r="S15" s="9" t="n">
        <f aca="false">IF(Q15=0,0,R15/Q15)</f>
        <v>0.222222222222222</v>
      </c>
      <c r="T15" s="10" t="n">
        <v>3.03</v>
      </c>
      <c r="U15" s="11" t="n">
        <f aca="false">IF(Q15=0,0,T15/Q15)</f>
        <v>0.336666666666667</v>
      </c>
      <c r="V15" s="8" t="n">
        <v>9</v>
      </c>
      <c r="W15" s="8" t="n">
        <v>4</v>
      </c>
      <c r="X15" s="9" t="n">
        <f aca="false">IF(V15=0,0,W15/V15)</f>
        <v>0.444444444444444</v>
      </c>
      <c r="Y15" s="10" t="n">
        <v>35.94</v>
      </c>
      <c r="Z15" s="11" t="n">
        <f aca="false">IF(V15=0,0,Y15/V15)</f>
        <v>3.99333333333333</v>
      </c>
      <c r="AA15" s="7" t="n">
        <f aca="false">B15+G15+L15+Q15+V15</f>
        <v>48</v>
      </c>
      <c r="AB15" s="7" t="n">
        <f aca="false">C15+H15+M15+R15+W15</f>
        <v>17</v>
      </c>
      <c r="AC15" s="9" t="n">
        <f aca="false">IF(AA15=0,0,AB15/AA15)</f>
        <v>0.354166666666667</v>
      </c>
      <c r="AD15" s="11" t="n">
        <f aca="false">E15+J15+O15+T15+Y15</f>
        <v>36.99</v>
      </c>
      <c r="AE15" s="11" t="n">
        <f aca="false">IF(AA15=0,0,AD15/AA15)</f>
        <v>0.770625</v>
      </c>
    </row>
    <row r="16" customFormat="false" ht="15" hidden="false" customHeight="false" outlineLevel="0" collapsed="false">
      <c r="A16" s="7" t="s">
        <v>24</v>
      </c>
      <c r="B16" s="8" t="n">
        <v>4</v>
      </c>
      <c r="C16" s="8" t="n">
        <v>3</v>
      </c>
      <c r="D16" s="9" t="n">
        <f aca="false">IF(B16=0,0,C16/B16)</f>
        <v>0.75</v>
      </c>
      <c r="E16" s="10" t="n">
        <v>1.65</v>
      </c>
      <c r="F16" s="11" t="n">
        <f aca="false">IF(B16=0,0,E16/B16)</f>
        <v>0.4125</v>
      </c>
      <c r="G16" s="8" t="n">
        <v>4</v>
      </c>
      <c r="H16" s="8" t="n">
        <v>1</v>
      </c>
      <c r="I16" s="9" t="n">
        <f aca="false">IF(G16=0,0,H16/G16)</f>
        <v>0.25</v>
      </c>
      <c r="J16" s="10" t="n">
        <v>-4.08</v>
      </c>
      <c r="K16" s="11" t="n">
        <f aca="false">IF(G16=0,0,J16/G16)</f>
        <v>-1.02</v>
      </c>
      <c r="L16" s="8" t="n">
        <v>12</v>
      </c>
      <c r="M16" s="8" t="n">
        <v>3</v>
      </c>
      <c r="N16" s="9" t="n">
        <f aca="false">IF(L16=0,0,M16/L16)</f>
        <v>0.25</v>
      </c>
      <c r="O16" s="10" t="n">
        <v>-26.22</v>
      </c>
      <c r="P16" s="11" t="n">
        <f aca="false">IF(L16=0,0,O16/L16)</f>
        <v>-2.185</v>
      </c>
      <c r="Q16" s="8" t="n">
        <v>13</v>
      </c>
      <c r="R16" s="8" t="n">
        <v>6</v>
      </c>
      <c r="S16" s="9" t="n">
        <f aca="false">IF(Q16=0,0,R16/Q16)</f>
        <v>0.461538461538462</v>
      </c>
      <c r="T16" s="10" t="n">
        <v>-16.2</v>
      </c>
      <c r="U16" s="11" t="n">
        <f aca="false">IF(Q16=0,0,T16/Q16)</f>
        <v>-1.24615384615385</v>
      </c>
      <c r="V16" s="8" t="n">
        <v>10</v>
      </c>
      <c r="W16" s="8" t="n">
        <v>5</v>
      </c>
      <c r="X16" s="9" t="n">
        <f aca="false">IF(V16=0,0,W16/V16)</f>
        <v>0.5</v>
      </c>
      <c r="Y16" s="10" t="n">
        <v>-3.36</v>
      </c>
      <c r="Z16" s="11" t="n">
        <f aca="false">IF(V16=0,0,Y16/V16)</f>
        <v>-0.336</v>
      </c>
      <c r="AA16" s="7" t="n">
        <f aca="false">B16+G16+L16+Q16+V16</f>
        <v>43</v>
      </c>
      <c r="AB16" s="7" t="n">
        <f aca="false">C16+H16+M16+R16+W16</f>
        <v>18</v>
      </c>
      <c r="AC16" s="9" t="n">
        <f aca="false">IF(AA16=0,0,AB16/AA16)</f>
        <v>0.418604651162791</v>
      </c>
      <c r="AD16" s="11" t="n">
        <f aca="false">E16+J16+O16+T16+Y16</f>
        <v>-48.21</v>
      </c>
      <c r="AE16" s="11" t="n">
        <f aca="false">IF(AA16=0,0,AD16/AA16)</f>
        <v>-1.12116279069767</v>
      </c>
    </row>
    <row r="17" customFormat="false" ht="15" hidden="false" customHeight="false" outlineLevel="0" collapsed="false">
      <c r="A17" s="7" t="s">
        <v>25</v>
      </c>
      <c r="B17" s="8" t="n">
        <v>7</v>
      </c>
      <c r="C17" s="8" t="n">
        <v>3</v>
      </c>
      <c r="D17" s="9" t="n">
        <f aca="false">IF(B17=0,0,C17/B17)</f>
        <v>0.428571428571429</v>
      </c>
      <c r="E17" s="10" t="n">
        <v>22.53</v>
      </c>
      <c r="F17" s="11" t="n">
        <f aca="false">IF(B17=0,0,E17/B17)</f>
        <v>3.21857142857143</v>
      </c>
      <c r="G17" s="8" t="n">
        <v>3</v>
      </c>
      <c r="H17" s="8" t="n">
        <v>3</v>
      </c>
      <c r="I17" s="9" t="n">
        <f aca="false">IF(G17=0,0,H17/G17)</f>
        <v>1</v>
      </c>
      <c r="J17" s="10" t="n">
        <v>11.85</v>
      </c>
      <c r="K17" s="11" t="n">
        <f aca="false">IF(G17=0,0,J17/G17)</f>
        <v>3.95</v>
      </c>
      <c r="L17" s="8" t="n">
        <v>19</v>
      </c>
      <c r="M17" s="8" t="n">
        <v>6</v>
      </c>
      <c r="N17" s="9" t="n">
        <f aca="false">IF(L17=0,0,M17/L17)</f>
        <v>0.315789473684211</v>
      </c>
      <c r="O17" s="10" t="n">
        <v>-38.73</v>
      </c>
      <c r="P17" s="11" t="n">
        <f aca="false">IF(L17=0,0,O17/L17)</f>
        <v>-2.03842105263158</v>
      </c>
      <c r="Q17" s="8" t="n">
        <v>11</v>
      </c>
      <c r="R17" s="8" t="n">
        <v>2</v>
      </c>
      <c r="S17" s="9" t="n">
        <f aca="false">IF(Q17=0,0,R17/Q17)</f>
        <v>0.181818181818182</v>
      </c>
      <c r="T17" s="10" t="n">
        <v>-60.93</v>
      </c>
      <c r="U17" s="11" t="n">
        <f aca="false">IF(Q17=0,0,T17/Q17)</f>
        <v>-5.53909090909091</v>
      </c>
      <c r="V17" s="8" t="n">
        <v>9</v>
      </c>
      <c r="W17" s="8" t="n">
        <v>6</v>
      </c>
      <c r="X17" s="9" t="n">
        <f aca="false">IF(V17=0,0,W17/V17)</f>
        <v>0.666666666666667</v>
      </c>
      <c r="Y17" s="10" t="n">
        <v>46.29</v>
      </c>
      <c r="Z17" s="11" t="n">
        <f aca="false">IF(V17=0,0,Y17/V17)</f>
        <v>5.14333333333333</v>
      </c>
      <c r="AA17" s="7" t="n">
        <f aca="false">B17+G17+L17+Q17+V17</f>
        <v>49</v>
      </c>
      <c r="AB17" s="7" t="n">
        <f aca="false">C17+H17+M17+R17+W17</f>
        <v>20</v>
      </c>
      <c r="AC17" s="9" t="n">
        <f aca="false">IF(AA17=0,0,AB17/AA17)</f>
        <v>0.408163265306122</v>
      </c>
      <c r="AD17" s="11" t="n">
        <f aca="false">E17+J17+O17+T17+Y17</f>
        <v>-18.99</v>
      </c>
      <c r="AE17" s="11" t="n">
        <f aca="false">IF(AA17=0,0,AD17/AA17)</f>
        <v>-0.387551020408163</v>
      </c>
    </row>
    <row r="18" customFormat="false" ht="15" hidden="false" customHeight="false" outlineLevel="0" collapsed="false">
      <c r="A18" s="7" t="s">
        <v>26</v>
      </c>
      <c r="B18" s="8" t="n">
        <v>3</v>
      </c>
      <c r="C18" s="8" t="n">
        <v>1</v>
      </c>
      <c r="D18" s="9" t="n">
        <f aca="false">IF(B18=0,0,C18/B18)</f>
        <v>0.333333333333333</v>
      </c>
      <c r="E18" s="10" t="n">
        <v>-4.17</v>
      </c>
      <c r="F18" s="11" t="n">
        <f aca="false">IF(B18=0,0,E18/B18)</f>
        <v>-1.39</v>
      </c>
      <c r="G18" s="8" t="n">
        <v>2</v>
      </c>
      <c r="H18" s="8" t="n">
        <v>1</v>
      </c>
      <c r="I18" s="9" t="n">
        <f aca="false">IF(G18=0,0,H18/G18)</f>
        <v>0.5</v>
      </c>
      <c r="J18" s="10" t="n">
        <v>1.59</v>
      </c>
      <c r="K18" s="11" t="n">
        <f aca="false">IF(G18=0,0,J18/G18)</f>
        <v>0.795</v>
      </c>
      <c r="L18" s="8" t="n">
        <v>6</v>
      </c>
      <c r="M18" s="8" t="n">
        <v>2</v>
      </c>
      <c r="N18" s="9" t="n">
        <f aca="false">IF(L18=0,0,M18/L18)</f>
        <v>0.333333333333333</v>
      </c>
      <c r="O18" s="10" t="n">
        <v>-16.26</v>
      </c>
      <c r="P18" s="11" t="n">
        <f aca="false">IF(L18=0,0,O18/L18)</f>
        <v>-2.71</v>
      </c>
      <c r="Q18" s="8" t="n">
        <v>3</v>
      </c>
      <c r="R18" s="8" t="n">
        <v>1</v>
      </c>
      <c r="S18" s="9" t="n">
        <f aca="false">IF(Q18=0,0,R18/Q18)</f>
        <v>0.333333333333333</v>
      </c>
      <c r="T18" s="10" t="n">
        <v>0.42</v>
      </c>
      <c r="U18" s="11" t="n">
        <f aca="false">IF(Q18=0,0,T18/Q18)</f>
        <v>0.14</v>
      </c>
      <c r="V18" s="8" t="n">
        <v>3</v>
      </c>
      <c r="W18" s="8" t="n">
        <v>2</v>
      </c>
      <c r="X18" s="9" t="n">
        <f aca="false">IF(V18=0,0,W18/V18)</f>
        <v>0.666666666666667</v>
      </c>
      <c r="Y18" s="10" t="n">
        <v>19.71</v>
      </c>
      <c r="Z18" s="11" t="n">
        <f aca="false">IF(V18=0,0,Y18/V18)</f>
        <v>6.57</v>
      </c>
      <c r="AA18" s="7" t="n">
        <f aca="false">B18+G18+L18+Q18+V18</f>
        <v>17</v>
      </c>
      <c r="AB18" s="7" t="n">
        <f aca="false">C18+H18+M18+R18+W18</f>
        <v>7</v>
      </c>
      <c r="AC18" s="9" t="n">
        <f aca="false">IF(AA18=0,0,AB18/AA18)</f>
        <v>0.411764705882353</v>
      </c>
      <c r="AD18" s="11" t="n">
        <f aca="false">E18+J18+O18+T18+Y18</f>
        <v>1.29</v>
      </c>
      <c r="AE18" s="11" t="n">
        <f aca="false">IF(AA18=0,0,AD18/AA18)</f>
        <v>0.0758823529411764</v>
      </c>
    </row>
    <row r="19" customFormat="false" ht="15" hidden="false" customHeight="false" outlineLevel="0" collapsed="false">
      <c r="A19" s="12" t="s">
        <v>27</v>
      </c>
      <c r="B19" s="12" t="n">
        <f aca="false">SUM(B6:B18)</f>
        <v>126</v>
      </c>
      <c r="C19" s="12" t="n">
        <f aca="false">SUM(C6:C18)</f>
        <v>59</v>
      </c>
      <c r="D19" s="13" t="n">
        <f aca="false">IF(B19=0,0,C19/B19)</f>
        <v>0.468253968253968</v>
      </c>
      <c r="E19" s="14" t="n">
        <f aca="false">SUM(E6:E18)</f>
        <v>109.5</v>
      </c>
      <c r="F19" s="14" t="n">
        <f aca="false">IF(B19=0,0,E19/B19)</f>
        <v>0.869047619047619</v>
      </c>
      <c r="G19" s="12" t="n">
        <f aca="false">SUM(G6:G18)</f>
        <v>110</v>
      </c>
      <c r="H19" s="12" t="n">
        <f aca="false">SUM(H6:H18)</f>
        <v>42</v>
      </c>
      <c r="I19" s="13" t="n">
        <f aca="false">IF(G19=0,0,H19/G19)</f>
        <v>0.381818181818182</v>
      </c>
      <c r="J19" s="14" t="n">
        <f aca="false">SUM(J6:J18)</f>
        <v>-59.67</v>
      </c>
      <c r="K19" s="14" t="n">
        <f aca="false">IF(G19=0,0,J19/G19)</f>
        <v>-0.542454545454546</v>
      </c>
      <c r="L19" s="12" t="n">
        <f aca="false">SUM(L6:L18)</f>
        <v>244</v>
      </c>
      <c r="M19" s="12" t="n">
        <f aca="false">SUM(M6:M18)</f>
        <v>105</v>
      </c>
      <c r="N19" s="13" t="n">
        <f aca="false">IF(L19=0,0,M19/L19)</f>
        <v>0.430327868852459</v>
      </c>
      <c r="O19" s="14" t="n">
        <f aca="false">SUM(O6:O18)</f>
        <v>164.58</v>
      </c>
      <c r="P19" s="14" t="n">
        <f aca="false">IF(L19=0,0,O19/L19)</f>
        <v>0.674508196721312</v>
      </c>
      <c r="Q19" s="12" t="n">
        <f aca="false">SUM(Q6:Q18)</f>
        <v>169</v>
      </c>
      <c r="R19" s="12" t="n">
        <f aca="false">SUM(R6:R18)</f>
        <v>67</v>
      </c>
      <c r="S19" s="13" t="n">
        <f aca="false">IF(Q19=0,0,R19/Q19)</f>
        <v>0.396449704142012</v>
      </c>
      <c r="T19" s="14" t="n">
        <f aca="false">SUM(T6:T18)</f>
        <v>-90.24</v>
      </c>
      <c r="U19" s="14" t="n">
        <f aca="false">IF(Q19=0,0,T19/Q19)</f>
        <v>-0.53396449704142</v>
      </c>
      <c r="V19" s="12" t="n">
        <f aca="false">SUM(V6:V18)</f>
        <v>122</v>
      </c>
      <c r="W19" s="12" t="n">
        <f aca="false">SUM(W6:W18)</f>
        <v>53</v>
      </c>
      <c r="X19" s="13" t="n">
        <f aca="false">IF(V19=0,0,W19/V19)</f>
        <v>0.434426229508197</v>
      </c>
      <c r="Y19" s="14" t="n">
        <f aca="false">SUM(Y6:Y18)</f>
        <v>103.44</v>
      </c>
      <c r="Z19" s="14" t="n">
        <f aca="false">IF(V19=0,0,Y19/V19)</f>
        <v>0.847868852459016</v>
      </c>
      <c r="AA19" s="12" t="n">
        <f aca="false">SUM(AA6:AA18)</f>
        <v>771</v>
      </c>
      <c r="AB19" s="12" t="n">
        <f aca="false">SUM(AB6:AB18)</f>
        <v>326</v>
      </c>
      <c r="AC19" s="13" t="n">
        <f aca="false">IF(AA19=0,0,AB19/AA19)</f>
        <v>0.422827496757458</v>
      </c>
      <c r="AD19" s="14" t="n">
        <f aca="false">SUM(AD6:AD18)</f>
        <v>227.61</v>
      </c>
      <c r="AE19" s="14" t="n">
        <f aca="false">IF(AA19=0,0,AD19/AA19)</f>
        <v>0.295214007782101</v>
      </c>
    </row>
  </sheetData>
  <mergeCells count="7">
    <mergeCell ref="A2:V2"/>
    <mergeCell ref="B4:F4"/>
    <mergeCell ref="G4:K4"/>
    <mergeCell ref="L4:P4"/>
    <mergeCell ref="Q4:U4"/>
    <mergeCell ref="V4:Z4"/>
    <mergeCell ref="AA4:A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2026-07-27T09:33:46Z</dcterms:created>
  <dc:creator>openpyxl</dc:creator>
  <dc:description/>
  <dc:language>en-US</dc:language>
  <cp:lastModifiedBy/>
  <dcterms:modified xsi:type="dcterms:W3CDTF">2026-07-27T09:33:46Z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